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wglobal-my.sharepoint.com/personal/fmorasca_sgw_com_br/Documents/Desktop/"/>
    </mc:Choice>
  </mc:AlternateContent>
  <xr:revisionPtr revIDLastSave="72" documentId="8_{CA0B9602-E385-4F50-9596-679E24A4DCA2}" xr6:coauthVersionLast="47" xr6:coauthVersionMax="47" xr10:uidLastSave="{44985D12-AD2F-4CA7-8EE6-A51DB7DFF1E8}"/>
  <bookViews>
    <workbookView xWindow="-108" yWindow="-108" windowWidth="23256" windowHeight="12456" tabRatio="26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3" l="1"/>
  <c r="E45" i="3"/>
  <c r="E44" i="3"/>
  <c r="F46" i="3"/>
  <c r="F45" i="3"/>
  <c r="F44" i="3"/>
  <c r="E36" i="3"/>
  <c r="E25" i="3"/>
</calcChain>
</file>

<file path=xl/sharedStrings.xml><?xml version="1.0" encoding="utf-8"?>
<sst xmlns="http://schemas.openxmlformats.org/spreadsheetml/2006/main" count="2029" uniqueCount="327">
  <si>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</si>
  <si>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</si>
  <si>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</si>
  <si>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</si>
  <si>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</si>
  <si>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</si>
  <si>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</si>
  <si>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</si>
  <si>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</si>
  <si>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</si>
  <si>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</si>
  <si>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</si>
  <si>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</si>
  <si>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</si>
  <si>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</si>
  <si>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</si>
  <si>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</si>
  <si>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</si>
  <si>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</si>
  <si>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</si>
  <si>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</si>
  <si>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</si>
  <si>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</si>
  <si>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</si>
  <si>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</si>
  <si>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</si>
  <si>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</si>
  <si>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</si>
  <si>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</si>
  <si>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</si>
  <si>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</si>
  <si>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</si>
  <si>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</si>
  <si>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</si>
  <si>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</si>
  <si>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</si>
  <si>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</si>
  <si>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</si>
  <si>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</si>
  <si>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</si>
  <si>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</si>
  <si>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</si>
  <si>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</si>
  <si>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</si>
  <si>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</si>
  <si>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</si>
  <si>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</si>
  <si>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</si>
  <si>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</si>
  <si>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</si>
  <si>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</si>
  <si>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</si>
  <si>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</si>
  <si>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</si>
  <si>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</si>
  <si>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</si>
  <si>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</si>
  <si>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</si>
  <si>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</si>
  <si>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</si>
  <si>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</si>
  <si>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</si>
  <si>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</si>
  <si>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</si>
  <si>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</si>
  <si>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</si>
  <si>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</si>
  <si>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</si>
  <si>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</si>
  <si>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</si>
  <si>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</si>
  <si>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</si>
  <si>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</si>
  <si>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</si>
  <si>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</si>
  <si>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</si>
  <si>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</si>
  <si>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</si>
  <si>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</si>
  <si>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</si>
  <si>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</si>
  <si>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</si>
  <si>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</si>
  <si>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</si>
  <si>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</si>
  <si>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</si>
  <si>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</si>
  <si>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</si>
  <si>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</si>
  <si>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</si>
  <si>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</si>
  <si>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</si>
  <si>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</si>
  <si>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</si>
  <si>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</si>
  <si>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</si>
  <si>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</si>
  <si>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</si>
  <si>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</si>
  <si>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</si>
  <si>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</si>
  <si>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</si>
  <si>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</si>
  <si>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</si>
  <si>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</si>
  <si>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</si>
  <si>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</si>
  <si>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</si>
  <si>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</si>
  <si>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</si>
  <si>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</si>
  <si>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</si>
  <si>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</si>
  <si>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</si>
  <si>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</si>
  <si>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</si>
  <si>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</si>
  <si>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</si>
  <si>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</si>
  <si>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</si>
  <si>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</si>
  <si>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</si>
  <si>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</si>
  <si>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</si>
  <si>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</si>
  <si>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</si>
  <si>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</si>
  <si>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</si>
  <si>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</si>
  <si>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</si>
  <si>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</si>
  <si>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</si>
  <si>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</si>
  <si>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</si>
  <si>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</si>
  <si>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</si>
  <si>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</si>
  <si>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</si>
  <si>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</si>
  <si>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</si>
  <si>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</si>
  <si>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</si>
  <si>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</si>
  <si>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</si>
  <si>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</si>
  <si>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</si>
  <si>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</si>
  <si>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</si>
  <si>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</si>
  <si>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</si>
  <si>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</si>
  <si>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</si>
  <si>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</si>
  <si>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</si>
  <si>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</si>
  <si>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</si>
  <si>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</si>
  <si>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</si>
  <si>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</si>
  <si>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</si>
  <si>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</si>
  <si>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</si>
  <si>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</si>
  <si>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</si>
  <si>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</si>
  <si>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</si>
  <si>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</si>
  <si>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</si>
  <si>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</si>
  <si>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</si>
  <si>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</si>
  <si>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</si>
  <si>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</si>
  <si>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</si>
  <si>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</si>
  <si>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</si>
  <si>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</si>
  <si>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</si>
  <si>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</si>
  <si>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</si>
  <si>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</si>
  <si>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</si>
  <si>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</si>
  <si>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</si>
  <si>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</si>
  <si>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</si>
  <si>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</si>
  <si>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</si>
  <si>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</si>
  <si>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</si>
  <si>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</si>
  <si>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</si>
  <si>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</si>
  <si>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</si>
  <si>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</si>
  <si>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</si>
  <si>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</si>
  <si>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</si>
  <si>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</si>
  <si>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</si>
  <si>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</si>
  <si>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</si>
  <si>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</si>
  <si>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</si>
  <si>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</si>
  <si>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</si>
  <si>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</si>
  <si>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</si>
  <si>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</si>
  <si>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</si>
  <si>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</si>
  <si>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</si>
  <si>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</si>
  <si>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</si>
  <si>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</si>
  <si>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</si>
  <si>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</si>
  <si>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</si>
  <si>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</si>
  <si>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</si>
  <si>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</si>
  <si>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</si>
  <si>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</si>
  <si>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</si>
  <si>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</si>
  <si>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</si>
  <si>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</si>
  <si>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</si>
  <si>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</si>
  <si>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</si>
  <si>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</si>
  <si>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</si>
  <si>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</si>
  <si>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</si>
  <si>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</si>
  <si>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</si>
  <si>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</si>
  <si>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</si>
  <si>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</si>
  <si>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</si>
  <si>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</si>
  <si>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</si>
  <si>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</si>
  <si>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</si>
  <si>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</si>
  <si>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</si>
  <si>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</si>
  <si>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</si>
  <si>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</si>
  <si>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</si>
  <si>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</si>
  <si>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</si>
  <si>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</si>
  <si>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</si>
  <si>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</si>
  <si>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</si>
  <si>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</si>
  <si>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</si>
  <si>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</si>
  <si>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</si>
  <si>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</si>
  <si>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</si>
  <si>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</si>
  <si>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</si>
  <si>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</si>
  <si>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</si>
  <si>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</si>
  <si>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</si>
  <si>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</si>
  <si>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</si>
  <si>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</si>
  <si>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</si>
  <si>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</si>
  <si>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</si>
  <si>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</si>
  <si>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</si>
  <si>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</si>
  <si>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</si>
  <si>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</si>
  <si>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</si>
  <si>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</si>
  <si>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</si>
  <si>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</si>
  <si>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</si>
  <si>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</si>
  <si>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</si>
  <si>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</si>
  <si>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</si>
  <si>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</si>
  <si>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</si>
  <si>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</si>
  <si>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</si>
  <si>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</si>
  <si>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</si>
  <si>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</si>
  <si>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</si>
  <si>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</si>
  <si>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</si>
  <si>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</si>
  <si>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</si>
  <si>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</si>
  <si>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</si>
  <si>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</si>
  <si>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</si>
  <si>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</si>
  <si>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</si>
  <si>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</si>
  <si>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</si>
  <si>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</si>
  <si>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</si>
  <si>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</si>
  <si>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</si>
  <si>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</si>
  <si>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</si>
  <si>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</si>
  <si>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</si>
  <si>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</si>
  <si>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</si>
  <si>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Calibri"/>
        <family val="2"/>
        <scheme val="minor"/>
      </rPr>
      <t>Total de vendas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theme="1"/>
        <rFont val="Calibri"/>
        <family val="2"/>
        <scheme val="minor"/>
      </rPr>
      <t>planos anuais</t>
    </r>
    <r>
      <rPr>
        <sz val="11"/>
        <color theme="1"/>
        <rFont val="Calibri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</si>
  <si>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</si>
  <si>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Calibri"/>
        <family val="2"/>
        <scheme val="minor"/>
      </rPr>
      <t xml:space="preserve"> Total de vendas</t>
    </r>
    <r>
      <rPr>
        <sz val="11"/>
        <color theme="1"/>
        <rFont val="Calibri"/>
        <family val="2"/>
        <scheme val="minor"/>
      </rPr>
      <t xml:space="preserve"> de</t>
    </r>
    <r>
      <rPr>
        <b/>
        <sz val="11"/>
        <color theme="1"/>
        <rFont val="Calibri"/>
        <family val="2"/>
        <scheme val="minor"/>
      </rPr>
      <t xml:space="preserve"> planos anuais</t>
    </r>
    <r>
      <rPr>
        <sz val="11"/>
        <color theme="1"/>
        <rFont val="Calibri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</si>
  <si>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</si>
  <si>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</si>
  <si>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</si>
  <si>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Pergunta Negócio 5 - Qtd de pessoas em cada plano</t>
  </si>
  <si>
    <t>Contagem de Plan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</si>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</sst>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 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28606218037179"/>
          <c:y val="3.2407407407407406E-2"/>
          <c:w val="0.81907000027058474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C̳álculos!$E$44:$E$46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C̳álculos!$F$44:$F$46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7-4311-ABF5-F17905152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8679696"/>
        <c:axId val="559709072"/>
      </c:barChart>
      <c:catAx>
        <c:axId val="558679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709072"/>
        <c:crosses val="autoZero"/>
        <c:auto val="1"/>
        <c:lblAlgn val="ctr"/>
        <c:lblOffset val="100"/>
        <c:noMultiLvlLbl val="0"/>
      </c:catAx>
      <c:valAx>
        <c:axId val="5597090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867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15</xdr:row>
      <xdr:rowOff>144780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366712</xdr:colOff>
      <xdr:row>7</xdr:row>
      <xdr:rowOff>31433</xdr:rowOff>
    </xdr:from>
    <xdr:to>
      <xdr:col>15</xdr:col>
      <xdr:colOff>167639</xdr:colOff>
      <xdr:row>16</xdr:row>
      <xdr:rowOff>34767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6150292" y="1250633"/>
          <a:ext cx="3908107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</xdr:col>
      <xdr:colOff>179547</xdr:colOff>
      <xdr:row>7</xdr:row>
      <xdr:rowOff>23813</xdr:rowOff>
    </xdr:from>
    <xdr:to>
      <xdr:col>8</xdr:col>
      <xdr:colOff>198121</xdr:colOff>
      <xdr:row>15</xdr:row>
      <xdr:rowOff>133826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A0F3C390-AD7E-13B1-36F4-56B442C6EF8D}"/>
            </a:ext>
          </a:extLst>
        </xdr:cNvPr>
        <xdr:cNvGrpSpPr/>
      </xdr:nvGrpSpPr>
      <xdr:grpSpPr>
        <a:xfrm>
          <a:off x="2061687" y="1243013"/>
          <a:ext cx="3920014" cy="1519713"/>
          <a:chOff x="7776686" y="1159193"/>
          <a:chExt cx="4681061" cy="1519713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776686" y="1159193"/>
            <a:ext cx="4681061" cy="1519713"/>
            <a:chOff x="2095500" y="1143001"/>
            <a:chExt cx="4655344" cy="1571624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1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946690" y="1840762"/>
            <a:ext cx="1089452" cy="56413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21</xdr:col>
      <xdr:colOff>579120</xdr:colOff>
      <xdr:row>28</xdr:row>
      <xdr:rowOff>60960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1989594" cy="198929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Mayara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15</xdr:col>
      <xdr:colOff>320040</xdr:colOff>
      <xdr:row>7</xdr:row>
      <xdr:rowOff>39053</xdr:rowOff>
    </xdr:from>
    <xdr:to>
      <xdr:col>21</xdr:col>
      <xdr:colOff>579120</xdr:colOff>
      <xdr:row>15</xdr:row>
      <xdr:rowOff>151468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729DCA6-4AAE-0C90-3DCE-48ED1F46D1FC}"/>
            </a:ext>
          </a:extLst>
        </xdr:cNvPr>
        <xdr:cNvGrpSpPr/>
      </xdr:nvGrpSpPr>
      <xdr:grpSpPr>
        <a:xfrm>
          <a:off x="10210800" y="1258253"/>
          <a:ext cx="3916680" cy="1522115"/>
          <a:chOff x="10416540" y="1243013"/>
          <a:chExt cx="2065019" cy="152211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6CFC1E8-2EB6-79A4-9A00-B8D985E598F9}"/>
              </a:ext>
            </a:extLst>
          </xdr:cNvPr>
          <xdr:cNvSpPr/>
        </xdr:nvSpPr>
        <xdr:spPr>
          <a:xfrm>
            <a:off x="10416540" y="1300669"/>
            <a:ext cx="2065019" cy="1464459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297C01CA-8737-F6CA-146C-68BABCEFA84D}"/>
              </a:ext>
            </a:extLst>
          </xdr:cNvPr>
          <xdr:cNvSpPr/>
        </xdr:nvSpPr>
        <xdr:spPr>
          <a:xfrm>
            <a:off x="10416540" y="1243013"/>
            <a:ext cx="2065019" cy="43818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1" kern="1200">
                <a:latin typeface="Segoe UI" panose="020B0502040204020203" pitchFamily="34" charset="0"/>
                <a:cs typeface="Segoe UI" panose="020B0502040204020203" pitchFamily="34" charset="0"/>
              </a:rPr>
              <a:t>NUMBER OF PEOPLE IN EACH</a:t>
            </a:r>
            <a:r>
              <a:rPr lang="pt-BR" sz="10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PLAN</a:t>
            </a:r>
            <a:endParaRPr lang="pt-BR" sz="10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419100</xdr:colOff>
      <xdr:row>10</xdr:row>
      <xdr:rowOff>22860</xdr:rowOff>
    </xdr:from>
    <xdr:to>
      <xdr:col>21</xdr:col>
      <xdr:colOff>457200</xdr:colOff>
      <xdr:row>15</xdr:row>
      <xdr:rowOff>76200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B2FE5FC-BAE3-4DA8-A160-737AF2F1B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63A3C-5B89-4E4D-B21D-012E98E3F1BD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3:C47" firstHeaderRow="1" firstDataRow="1" firstDataCol="1"/>
  <pivotFields count="13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la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abela dinâmica1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18" zoomScale="90" zoomScaleNormal="90" workbookViewId="0">
      <selection activeCell="D300" sqref="D300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47"/>
  <sheetViews>
    <sheetView showGridLines="0" topLeftCell="A28" workbookViewId="0">
      <selection activeCell="E44" sqref="E44:F46"/>
    </sheetView>
  </sheetViews>
  <sheetFormatPr defaultRowHeight="14.4" x14ac:dyDescent="0.3"/>
  <cols>
    <col min="2" max="2" width="17.21875" bestFit="1" customWidth="1"/>
    <col min="3" max="3" width="16.44140625" bestFit="1" customWidth="1"/>
    <col min="4" max="4" width="18.4414062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20" t="s">
        <v>317</v>
      </c>
      <c r="C3" s="20"/>
      <c r="D3" s="20"/>
      <c r="E3" s="20"/>
      <c r="F3" s="20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326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3847</v>
      </c>
    </row>
    <row r="13" spans="2:6" x14ac:dyDescent="0.3">
      <c r="B13" s="14" t="s">
        <v>19</v>
      </c>
      <c r="C13" s="13">
        <v>3786</v>
      </c>
    </row>
    <row r="14" spans="2:6" x14ac:dyDescent="0.3">
      <c r="B14" s="14" t="s">
        <v>310</v>
      </c>
      <c r="C14" s="13">
        <v>7633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326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15">
        <v>0</v>
      </c>
    </row>
    <row r="23" spans="2:5" x14ac:dyDescent="0.3">
      <c r="B23" s="14" t="s">
        <v>26</v>
      </c>
      <c r="C23" s="15">
        <v>0</v>
      </c>
    </row>
    <row r="24" spans="2:5" x14ac:dyDescent="0.3">
      <c r="B24" s="14" t="s">
        <v>18</v>
      </c>
      <c r="C24" s="15">
        <v>2940</v>
      </c>
    </row>
    <row r="25" spans="2:5" x14ac:dyDescent="0.3">
      <c r="B25" s="14" t="s">
        <v>310</v>
      </c>
      <c r="C25" s="15">
        <v>2940</v>
      </c>
      <c r="E25" s="17">
        <f>GETPIVOTDATA("EA Play Season Pass
Price",$B$21)</f>
        <v>2940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326</v>
      </c>
    </row>
    <row r="32" spans="2:5" x14ac:dyDescent="0.3">
      <c r="B32" s="12" t="s">
        <v>309</v>
      </c>
      <c r="C32" t="s">
        <v>311</v>
      </c>
    </row>
    <row r="33" spans="2:6" x14ac:dyDescent="0.3">
      <c r="B33" s="14" t="s">
        <v>22</v>
      </c>
      <c r="C33" s="13">
        <v>0</v>
      </c>
    </row>
    <row r="34" spans="2:6" x14ac:dyDescent="0.3">
      <c r="B34" s="14" t="s">
        <v>26</v>
      </c>
      <c r="C34" s="13">
        <v>1920</v>
      </c>
    </row>
    <row r="35" spans="2:6" x14ac:dyDescent="0.3">
      <c r="B35" s="14" t="s">
        <v>18</v>
      </c>
      <c r="C35" s="13">
        <v>1960</v>
      </c>
    </row>
    <row r="36" spans="2:6" x14ac:dyDescent="0.3">
      <c r="B36" s="14" t="s">
        <v>310</v>
      </c>
      <c r="C36" s="13">
        <v>3880</v>
      </c>
      <c r="E36" s="17">
        <f>GETPIVOTDATA("Minecraft Season Pass Price",$B$32)</f>
        <v>3880</v>
      </c>
    </row>
    <row r="41" spans="2:6" x14ac:dyDescent="0.3">
      <c r="B41" s="14" t="s">
        <v>324</v>
      </c>
    </row>
    <row r="43" spans="2:6" x14ac:dyDescent="0.3">
      <c r="B43" s="12" t="s">
        <v>309</v>
      </c>
      <c r="C43" t="s">
        <v>325</v>
      </c>
    </row>
    <row r="44" spans="2:6" x14ac:dyDescent="0.3">
      <c r="B44" s="14" t="s">
        <v>22</v>
      </c>
      <c r="C44" s="15">
        <v>101</v>
      </c>
      <c r="E44" t="str">
        <f>B44</f>
        <v>Core</v>
      </c>
      <c r="F44">
        <f>GETPIVOTDATA("Plan",$B$43,"Plan","Core")</f>
        <v>101</v>
      </c>
    </row>
    <row r="45" spans="2:6" x14ac:dyDescent="0.3">
      <c r="B45" s="14" t="s">
        <v>26</v>
      </c>
      <c r="C45" s="15">
        <v>96</v>
      </c>
      <c r="E45" t="str">
        <f>B45</f>
        <v>Standard</v>
      </c>
      <c r="F45">
        <f>GETPIVOTDATA("Plan",$B$43,"Plan","Standard")</f>
        <v>96</v>
      </c>
    </row>
    <row r="46" spans="2:6" x14ac:dyDescent="0.3">
      <c r="B46" s="14" t="s">
        <v>18</v>
      </c>
      <c r="C46" s="15">
        <v>98</v>
      </c>
      <c r="E46" t="str">
        <f>B46</f>
        <v>Ultimate</v>
      </c>
      <c r="F46">
        <f>GETPIVOTDATA("Plan",$B$43,"Plan","Ultimate")</f>
        <v>98</v>
      </c>
    </row>
    <row r="47" spans="2:6" x14ac:dyDescent="0.3">
      <c r="B47" s="14" t="s">
        <v>310</v>
      </c>
      <c r="C47" s="15">
        <v>295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A18" sqref="A18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Filipe Del Vecchio Morasca - SGW Services</cp:lastModifiedBy>
  <dcterms:created xsi:type="dcterms:W3CDTF">2024-12-19T13:13:10Z</dcterms:created>
  <dcterms:modified xsi:type="dcterms:W3CDTF">2026-01-05T23:20:02Z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